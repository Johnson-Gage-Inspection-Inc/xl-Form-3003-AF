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workbookPr defaultThemeVersion="124226"/>
  <mc:AlternateContent xmlns:mc="http://schemas.openxmlformats.org/markup-compatibility/2006">
    <mc:Choice Requires="x15">
      <x15ac:absPath xmlns:x15ac="http://schemas.microsoft.com/office/spreadsheetml/2010/11/ac" url="C:\Users\rhyth\Desktop\sandbox\JGI\Form-3003-Microhardness-Tester-AF\"/>
    </mc:Choice>
  </mc:AlternateContent>
  <xr:revisionPtr revIDLastSave="0" documentId="8_{1D60707B-351C-4D34-9EF5-596BF971FEE6}" xr6:coauthVersionLast="47" xr6:coauthVersionMax="47" xr10:uidLastSave="{00000000-0000-0000-0000-000000000000}"/>
  <bookViews>
    <workbookView xWindow="-120" yWindow="-120" windowWidth="29040" windowHeight="15840" xr2:uid="{00000000-000D-0000-FFFF-FFFF00000000}"/>
  </bookViews>
  <sheets>
    <sheet name="Report" sheetId="2" r:id="rId1"/>
  </sheets>
  <externalReferences>
    <externalReference r:id="rId2"/>
  </externalReferences>
  <definedNames>
    <definedName name="Locator">Report!$LCB$524288</definedName>
    <definedName name="Picture" localSheetId="0">INDIRECT('[1]Oven 12'!$CX$175)</definedName>
    <definedName name="_xlnm.Print_Area" localSheetId="0">Report!$A$1:$M$68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U34" i="2" l="1"/>
  <c r="AV29" i="2"/>
  <c r="AU29" i="2"/>
  <c r="U34" i="2"/>
  <c r="U29" i="2"/>
  <c r="AI33" i="2" l="1"/>
  <c r="AH33" i="2"/>
  <c r="AG33" i="2"/>
  <c r="AF33" i="2"/>
  <c r="BH32" i="2" s="1"/>
  <c r="BH33" i="2" s="1"/>
  <c r="AD33" i="2"/>
  <c r="BH34" i="2" l="1"/>
  <c r="BH35" i="2" s="1"/>
  <c r="AI28" i="2" l="1"/>
  <c r="AH28" i="2"/>
  <c r="AG28" i="2"/>
  <c r="AF28" i="2"/>
  <c r="BH27" i="2" s="1"/>
  <c r="BH28" i="2" s="1"/>
  <c r="BH29" i="2" s="1"/>
  <c r="BH30" i="2" s="1"/>
  <c r="AD28" i="2"/>
  <c r="I30" i="2" l="1"/>
  <c r="AK28" i="2" s="1"/>
  <c r="AU28" i="2" l="1"/>
  <c r="AX28" i="2" s="1"/>
  <c r="AV28" i="2"/>
  <c r="I35" i="2"/>
  <c r="AK33" i="2" s="1"/>
  <c r="AV33" i="2" l="1"/>
  <c r="AV34" i="2"/>
  <c r="AY33" i="2" s="1"/>
  <c r="BD35" i="2" s="1"/>
  <c r="BA33" i="2" s="1"/>
  <c r="BC33" i="2" s="1"/>
  <c r="BE33" i="2" s="1"/>
  <c r="AX33" i="2"/>
  <c r="AU33" i="2"/>
  <c r="AY28" i="2"/>
  <c r="BD30" i="2" s="1"/>
  <c r="BA28" i="2" s="1"/>
  <c r="BC28" i="2" s="1"/>
  <c r="BE28" i="2" s="1"/>
  <c r="K36" i="2"/>
  <c r="K31" i="2"/>
  <c r="J30" i="2" s="1"/>
  <c r="L33" i="2" l="1"/>
  <c r="I33" i="2"/>
  <c r="I28" i="2"/>
  <c r="L28" i="2"/>
  <c r="M31" i="2"/>
  <c r="L30" i="2" s="1"/>
  <c r="J35" i="2"/>
  <c r="M36" i="2"/>
  <c r="L35" i="2" s="1"/>
</calcChain>
</file>

<file path=xl/sharedStrings.xml><?xml version="1.0" encoding="utf-8"?>
<sst xmlns="http://schemas.openxmlformats.org/spreadsheetml/2006/main" count="151" uniqueCount="85">
  <si>
    <t xml:space="preserve">Report Number:  </t>
  </si>
  <si>
    <t xml:space="preserve">Customer:  </t>
  </si>
  <si>
    <t>Form 3003</t>
  </si>
  <si>
    <t xml:space="preserve">Item: </t>
  </si>
  <si>
    <t xml:space="preserve">Inspector:  </t>
  </si>
  <si>
    <t xml:space="preserve">Unit Number:  </t>
  </si>
  <si>
    <t xml:space="preserve">Model Number:  </t>
  </si>
  <si>
    <t xml:space="preserve">Serial Number:  </t>
  </si>
  <si>
    <t xml:space="preserve">Location:  </t>
  </si>
  <si>
    <t>Serial Number</t>
  </si>
  <si>
    <t>Test 1</t>
  </si>
  <si>
    <t>Test 2</t>
  </si>
  <si>
    <t>Test 3</t>
  </si>
  <si>
    <t>Test 4</t>
  </si>
  <si>
    <t>Test 5</t>
  </si>
  <si>
    <t>Average</t>
  </si>
  <si>
    <t>Deviation</t>
  </si>
  <si>
    <t xml:space="preserve">Controlling Specification(s):  </t>
  </si>
  <si>
    <t xml:space="preserve">Calibration Procedure(s):  </t>
  </si>
  <si>
    <t xml:space="preserve">Date Calibrated:  </t>
  </si>
  <si>
    <r>
      <t>R</t>
    </r>
    <r>
      <rPr>
        <sz val="6"/>
        <color theme="1"/>
        <rFont val="Calibri"/>
        <family val="2"/>
        <scheme val="minor"/>
      </rPr>
      <t>ind</t>
    </r>
  </si>
  <si>
    <t>E</t>
  </si>
  <si>
    <t>E Tol.</t>
  </si>
  <si>
    <r>
      <t>R</t>
    </r>
    <r>
      <rPr>
        <sz val="6"/>
        <color theme="1"/>
        <rFont val="Calibri"/>
        <family val="2"/>
        <scheme val="minor"/>
      </rPr>
      <t xml:space="preserve">ind </t>
    </r>
    <r>
      <rPr>
        <sz val="11"/>
        <color theme="1"/>
        <rFont val="Calibri"/>
        <family val="2"/>
        <scheme val="minor"/>
      </rPr>
      <t>Tol.</t>
    </r>
  </si>
  <si>
    <t xml:space="preserve">Error tolerance (E):  </t>
  </si>
  <si>
    <r>
      <t>Repeatability tolerance (R</t>
    </r>
    <r>
      <rPr>
        <sz val="6"/>
        <color theme="1"/>
        <rFont val="Calibri"/>
        <family val="2"/>
        <scheme val="minor"/>
      </rPr>
      <t>ind</t>
    </r>
    <r>
      <rPr>
        <sz val="11"/>
        <color theme="1"/>
        <rFont val="Calibri"/>
        <family val="2"/>
        <scheme val="minor"/>
      </rPr>
      <t xml:space="preserve">):  </t>
    </r>
  </si>
  <si>
    <t>Condition:  Good</t>
  </si>
  <si>
    <t>Approved by:</t>
  </si>
  <si>
    <t>Johnson Gage and Inspection, Inc.</t>
  </si>
  <si>
    <t>5920 West 21st Street North, Wichita, KS 67205</t>
  </si>
  <si>
    <t>Phone:  316-943-7532;  FAX:  316-944-6256</t>
  </si>
  <si>
    <t>Certificate of Calibration</t>
  </si>
  <si>
    <t>Results:  Accepted</t>
  </si>
  <si>
    <t>Ambient Temperature:</t>
  </si>
  <si>
    <t>Relative Humidity:</t>
  </si>
  <si>
    <t xml:space="preserve">The serial numbers of the penetrators used to perform this indirect verification are:  </t>
  </si>
  <si>
    <t>Average Diagonal Length</t>
  </si>
  <si>
    <t>Diagonals</t>
  </si>
  <si>
    <t>Test Block Information</t>
  </si>
  <si>
    <t>Hardness</t>
  </si>
  <si>
    <r>
      <t xml:space="preserve">Comments:  The tester was found in tolerance.  No adjustment was performed. This unit was tested on Knoop and Vickers scales. </t>
    </r>
    <r>
      <rPr>
        <sz val="11"/>
        <color theme="1"/>
        <rFont val="Calibri"/>
        <family val="2"/>
      </rPr>
      <t xml:space="preserve">Photocopies of the certifications are attached for your convenience. </t>
    </r>
  </si>
  <si>
    <t xml:space="preserve">Avg. Standard Diagonal: </t>
  </si>
  <si>
    <t>WP301384</t>
  </si>
  <si>
    <t xml:space="preserve">Page 1 of </t>
  </si>
  <si>
    <t>Microindentation Hardness Tester</t>
  </si>
  <si>
    <t xml:space="preserve">Recalibration Date:  </t>
  </si>
  <si>
    <t>password: jgi</t>
  </si>
  <si>
    <t>Hardness Range:</t>
  </si>
  <si>
    <t xml:space="preserve">Hardness Range: </t>
  </si>
  <si>
    <r>
      <t xml:space="preserve">Uncertainty @ </t>
    </r>
    <r>
      <rPr>
        <i/>
        <sz val="11"/>
        <color theme="1"/>
        <rFont val="Calibri"/>
        <family val="2"/>
        <scheme val="minor"/>
      </rPr>
      <t>k</t>
    </r>
    <r>
      <rPr>
        <sz val="11"/>
        <color theme="1"/>
        <rFont val="Calibri"/>
        <family val="2"/>
        <scheme val="minor"/>
      </rPr>
      <t xml:space="preserve"> = 2:</t>
    </r>
  </si>
  <si>
    <t>Nominal</t>
  </si>
  <si>
    <t>Rdg1</t>
  </si>
  <si>
    <t>rdg2</t>
  </si>
  <si>
    <t>rdg3</t>
  </si>
  <si>
    <t>rdg4</t>
  </si>
  <si>
    <t>rdg5</t>
  </si>
  <si>
    <t>Base Unc</t>
  </si>
  <si>
    <t>Base2 Unc</t>
  </si>
  <si>
    <t>avg</t>
  </si>
  <si>
    <t>Relevant Values</t>
  </si>
  <si>
    <t>Pool Stdev</t>
  </si>
  <si>
    <t>Std Error of mn</t>
  </si>
  <si>
    <t>Correct. Type A</t>
  </si>
  <si>
    <t>Squared</t>
  </si>
  <si>
    <t>New Unc</t>
  </si>
  <si>
    <t>Greater Unc</t>
  </si>
  <si>
    <t>Scale:</t>
  </si>
  <si>
    <t>HK</t>
  </si>
  <si>
    <t>Round Up</t>
  </si>
  <si>
    <t>HV</t>
  </si>
  <si>
    <t>Base2(1/2)sq</t>
  </si>
  <si>
    <t>Low</t>
  </si>
  <si>
    <t>Mid</t>
  </si>
  <si>
    <t>High</t>
  </si>
  <si>
    <t>Possible Values</t>
  </si>
  <si>
    <t>Pts per µm</t>
  </si>
  <si>
    <t>530.58 HV 0.5</t>
  </si>
  <si>
    <t>Nom Hardness</t>
  </si>
  <si>
    <t>Hardness at +1 µm</t>
  </si>
  <si>
    <t>Uncert as %Diag:</t>
  </si>
  <si>
    <t xml:space="preserve">The reported expanded uncertainty of measurement is stated as the standard uncertainty of measurment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This tester was cleaned and routine maintenance was performed, when required, in accordance with the manufacturer's specifications and instructions.  It was calibrated in accordance with procedures set forth in ASTM E 92 using test blocks which were certified in accordance with the requirements of the current revision of ASTM E 92 at the time of their certification.  These test blocks were calibrated on standardizing machines which were directly verified according to ASTM E 92 using devices that are traceable to the NIST, or they otherwise meet the requirements of ASTM E 92, Annex A2.  This document shall not be reproduced except in full, without the written permission of Johnson Gage and Inspection, Inc. </t>
  </si>
  <si>
    <t>See table below for the applicable tolerances.  These tolerances are found in Table A1.3 of ASTM E92 - 23</t>
  </si>
  <si>
    <t>ASTM E92 - 23</t>
  </si>
  <si>
    <t>AS-FOUND TESTS, BEFORE SERVICING, PER ASTM E92 - 23, Sec. A.1.4.5</t>
  </si>
  <si>
    <t>Rev. H 04-02-2023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</si>
</sst>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
    <numFmt numFmtId="166" formatCode="0.0"/>
    <numFmt numFmtId="167" formatCode="0.00000"/>
    <numFmt numFmtId="168" formatCode="0.0&quot; µm&quot;"/>
    <numFmt numFmtId="169" formatCode="0.00&quot; µm&quot;"/>
  </numFmts>
  <fonts count="12" x14ac:knownFonts="1">
    <font>
      <sz val="11"/>
      <color theme="1"/>
      <name val="Calibri"/>
      <family val="2"/>
      <scheme val="minor"/>
    </font>
    <font>
      <sz val="11"/>
      <color theme="1"/>
      <name val="Calibri"/>
      <family val="2"/>
    </font>
    <font>
      <sz val="6"/>
      <color theme="1"/>
      <name val="Calibri"/>
      <family val="2"/>
      <scheme val="minor"/>
    </font>
    <font>
      <sz val="18"/>
      <color theme="1"/>
      <name val="Calibri"/>
      <family val="2"/>
      <scheme val="minor"/>
    </font>
    <font>
      <b/>
      <sz val="11"/>
      <color theme="1"/>
      <name val="Calibri"/>
      <family val="2"/>
      <scheme val="minor"/>
    </font>
    <font>
      <sz val="10"/>
      <color theme="1"/>
      <name val="Calibri"/>
      <family val="2"/>
      <scheme val="minor"/>
    </font>
    <font>
      <b/>
      <sz val="11"/>
      <color theme="1"/>
      <name val="Calibri"/>
      <family val="2"/>
    </font>
    <font>
      <b/>
      <sz val="22"/>
      <name val="Calibri"/>
      <family val="2"/>
      <scheme val="minor"/>
    </font>
    <font>
      <sz val="14"/>
      <color theme="1"/>
      <name val="Calibri"/>
      <family val="2"/>
      <scheme val="minor"/>
    </font>
    <font>
      <b/>
      <sz val="22"/>
      <color theme="1"/>
      <name val="Calibri"/>
      <family val="2"/>
      <scheme val="minor"/>
    </font>
    <font>
      <sz val="9"/>
      <color theme="1"/>
      <name val="Calibri"/>
      <family val="2"/>
      <scheme val="minor"/>
    </font>
    <font>
      <i/>
      <sz val="11"/>
      <color theme="1"/>
      <name val="Calibri"/>
      <family val="2"/>
      <scheme val="minor"/>
    </font>
  </fonts>
  <fills count="3">
    <fill>
      <patternFill patternType="none"/>
    </fill>
    <fill>
      <patternFill patternType="gray125"/>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8">
    <xf numFmtId="0" fontId="0" fillId="0" borderId="0" xfId="0"/>
    <xf numFmtId="164" fontId="1" fillId="0" borderId="0" xfId="0" applyNumberFormat="1" applyFont="1" applyAlignment="1">
      <alignment horizontal="center"/>
    </xf>
    <xf numFmtId="2" fontId="0" fillId="0" borderId="0" xfId="0" applyNumberFormat="1" applyAlignment="1">
      <alignment horizontal="center"/>
    </xf>
    <xf numFmtId="0" fontId="0" fillId="0" borderId="0" xfId="0" applyAlignment="1">
      <alignment horizontal="center"/>
    </xf>
    <xf numFmtId="0" fontId="0" fillId="0" borderId="0" xfId="0" applyAlignment="1">
      <alignment horizontal="right"/>
    </xf>
    <xf numFmtId="2" fontId="0" fillId="0" borderId="0" xfId="0" applyNumberFormat="1"/>
    <xf numFmtId="10" fontId="0" fillId="0" borderId="0" xfId="0" applyNumberFormat="1" applyAlignment="1">
      <alignment horizontal="center"/>
    </xf>
    <xf numFmtId="166" fontId="0" fillId="0" borderId="0" xfId="0" applyNumberFormat="1"/>
    <xf numFmtId="166" fontId="0" fillId="0" borderId="0" xfId="0" applyNumberFormat="1" applyAlignment="1">
      <alignment horizontal="center"/>
    </xf>
    <xf numFmtId="2" fontId="0" fillId="0" borderId="0" xfId="0" applyNumberFormat="1" applyAlignment="1">
      <alignment horizontal="right"/>
    </xf>
    <xf numFmtId="166" fontId="0" fillId="0" borderId="0" xfId="0" applyNumberFormat="1" applyAlignment="1">
      <alignment horizontal="right"/>
    </xf>
    <xf numFmtId="165" fontId="0" fillId="0" borderId="0" xfId="0" applyNumberFormat="1" applyAlignment="1">
      <alignment horizontal="right"/>
    </xf>
    <xf numFmtId="167" fontId="0" fillId="0" borderId="0" xfId="0" applyNumberFormat="1" applyAlignment="1">
      <alignment horizontal="center"/>
    </xf>
    <xf numFmtId="0" fontId="6" fillId="0" borderId="0" xfId="0" applyFont="1"/>
    <xf numFmtId="0" fontId="3" fillId="0" borderId="0" xfId="0" applyFont="1" applyAlignment="1">
      <alignment horizontal="center"/>
    </xf>
    <xf numFmtId="0" fontId="0" fillId="0" borderId="0" xfId="0" applyAlignment="1">
      <alignment horizontal="left"/>
    </xf>
    <xf numFmtId="0" fontId="1" fillId="0" borderId="0" xfId="0" applyFont="1"/>
    <xf numFmtId="0" fontId="0" fillId="0" borderId="1" xfId="0" applyBorder="1" applyAlignment="1">
      <alignment horizontal="center"/>
    </xf>
    <xf numFmtId="0" fontId="0" fillId="0" borderId="1" xfId="0" applyBorder="1"/>
    <xf numFmtId="166" fontId="0" fillId="0" borderId="1" xfId="0" applyNumberFormat="1" applyBorder="1" applyAlignment="1">
      <alignment horizontal="center"/>
    </xf>
    <xf numFmtId="10" fontId="0" fillId="0" borderId="1" xfId="0" applyNumberFormat="1" applyBorder="1" applyAlignment="1">
      <alignment horizontal="center"/>
    </xf>
    <xf numFmtId="0" fontId="0" fillId="2" borderId="0" xfId="0" applyFill="1" applyAlignment="1">
      <alignment horizontal="center"/>
    </xf>
    <xf numFmtId="166" fontId="0" fillId="2" borderId="0" xfId="0" applyNumberFormat="1" applyFill="1" applyAlignment="1">
      <alignment horizontal="center"/>
    </xf>
    <xf numFmtId="10" fontId="0" fillId="2" borderId="0" xfId="0" applyNumberFormat="1" applyFill="1" applyAlignment="1">
      <alignment horizontal="center"/>
    </xf>
    <xf numFmtId="0" fontId="1" fillId="2" borderId="0" xfId="0" applyFont="1" applyFill="1" applyAlignment="1">
      <alignment horizontal="center"/>
    </xf>
    <xf numFmtId="0" fontId="0" fillId="2" borderId="0" xfId="0" applyFill="1"/>
    <xf numFmtId="165" fontId="0" fillId="2" borderId="0" xfId="0" applyNumberFormat="1" applyFill="1" applyAlignment="1">
      <alignment horizontal="center"/>
    </xf>
    <xf numFmtId="0" fontId="0" fillId="2" borderId="0" xfId="0" applyFill="1" applyAlignment="1">
      <alignment horizontal="right"/>
    </xf>
    <xf numFmtId="2" fontId="0" fillId="2" borderId="0" xfId="0" applyNumberFormat="1" applyFill="1" applyAlignment="1">
      <alignment horizontal="center"/>
    </xf>
    <xf numFmtId="2" fontId="0" fillId="2" borderId="0" xfId="0" applyNumberFormat="1" applyFill="1" applyAlignment="1">
      <alignment horizontal="right"/>
    </xf>
    <xf numFmtId="0" fontId="4" fillId="0" borderId="0" xfId="0" applyFont="1" applyAlignment="1">
      <alignment horizontal="center"/>
    </xf>
    <xf numFmtId="169" fontId="0" fillId="0" borderId="1" xfId="0" applyNumberFormat="1" applyBorder="1" applyAlignment="1">
      <alignment horizontal="center"/>
    </xf>
    <xf numFmtId="0" fontId="10" fillId="0" borderId="0" xfId="0" applyFont="1" applyAlignment="1">
      <alignment horizontal="right"/>
    </xf>
    <xf numFmtId="0" fontId="0" fillId="0" borderId="0" xfId="0" applyAlignment="1" applyProtection="1">
      <alignment horizontal="left"/>
      <protection locked="0"/>
    </xf>
    <xf numFmtId="0" fontId="0" fillId="0" borderId="0" xfId="0" applyProtection="1">
      <protection locked="0"/>
    </xf>
    <xf numFmtId="0" fontId="5" fillId="0" borderId="0" xfId="0" applyFont="1" applyAlignment="1" applyProtection="1">
      <alignment vertical="top"/>
      <protection locked="0"/>
    </xf>
    <xf numFmtId="0" fontId="5" fillId="0" borderId="0" xfId="0" applyFont="1" applyAlignment="1" applyProtection="1">
      <alignment horizontal="center"/>
      <protection locked="0"/>
    </xf>
    <xf numFmtId="0" fontId="0" fillId="0" borderId="0" xfId="0" applyAlignment="1" applyProtection="1">
      <alignment horizontal="center"/>
      <protection locked="0"/>
    </xf>
    <xf numFmtId="169" fontId="0" fillId="0" borderId="1" xfId="0" applyNumberFormat="1" applyBorder="1" applyAlignment="1" applyProtection="1">
      <alignment horizontal="center"/>
      <protection locked="0"/>
    </xf>
    <xf numFmtId="166" fontId="0" fillId="0" borderId="1" xfId="0" applyNumberFormat="1" applyBorder="1" applyAlignment="1" applyProtection="1">
      <alignment horizontal="center"/>
      <protection locked="0"/>
    </xf>
    <xf numFmtId="168" fontId="0" fillId="0" borderId="1" xfId="0" applyNumberFormat="1" applyBorder="1" applyAlignment="1" applyProtection="1">
      <alignment horizontal="center"/>
      <protection locked="0"/>
    </xf>
    <xf numFmtId="9" fontId="1" fillId="0" borderId="1" xfId="0" applyNumberFormat="1" applyFont="1" applyBorder="1" applyAlignment="1" applyProtection="1">
      <alignment horizontal="center"/>
      <protection locked="0"/>
    </xf>
    <xf numFmtId="0" fontId="0" fillId="0" borderId="0" xfId="0" applyAlignment="1" applyProtection="1">
      <alignment horizontal="right"/>
      <protection locked="0"/>
    </xf>
    <xf numFmtId="0" fontId="4" fillId="0" borderId="0" xfId="0" applyFont="1" applyAlignment="1" applyProtection="1">
      <alignment horizontal="center"/>
      <protection locked="0"/>
    </xf>
    <xf numFmtId="0" fontId="10" fillId="0" borderId="0" xfId="0" applyFont="1" applyAlignment="1" applyProtection="1">
      <alignment horizontal="right"/>
      <protection locked="0"/>
    </xf>
    <xf numFmtId="166" fontId="0" fillId="0" borderId="0" xfId="0" applyNumberFormat="1" applyAlignment="1" applyProtection="1">
      <alignment horizontal="center"/>
      <protection locked="0"/>
    </xf>
    <xf numFmtId="10" fontId="0" fillId="0" borderId="0" xfId="0" applyNumberFormat="1" applyAlignment="1" applyProtection="1">
      <alignment horizontal="center"/>
      <protection locked="0"/>
    </xf>
    <xf numFmtId="0" fontId="1" fillId="0" borderId="0" xfId="0" applyFont="1" applyAlignment="1" applyProtection="1">
      <alignment horizontal="center"/>
      <protection locked="0"/>
    </xf>
    <xf numFmtId="168" fontId="0" fillId="0" borderId="0" xfId="0" applyNumberFormat="1" applyAlignment="1" applyProtection="1">
      <alignment horizontal="center"/>
      <protection locked="0"/>
    </xf>
    <xf numFmtId="169" fontId="0" fillId="0" borderId="0" xfId="0" applyNumberFormat="1" applyAlignment="1" applyProtection="1">
      <alignment horizontal="center"/>
      <protection locked="0"/>
    </xf>
    <xf numFmtId="166" fontId="0" fillId="0" borderId="0" xfId="0" applyNumberFormat="1" applyProtection="1">
      <protection locked="0"/>
    </xf>
    <xf numFmtId="9" fontId="0" fillId="0" borderId="0" xfId="0" applyNumberFormat="1" applyAlignment="1" applyProtection="1">
      <alignment horizontal="left"/>
      <protection locked="0"/>
    </xf>
    <xf numFmtId="169" fontId="0" fillId="0" borderId="0" xfId="0" applyNumberFormat="1"/>
    <xf numFmtId="10" fontId="4" fillId="0" borderId="0" xfId="0" applyNumberFormat="1" applyFont="1" applyAlignment="1" applyProtection="1">
      <alignment horizontal="center"/>
      <protection locked="0"/>
    </xf>
    <xf numFmtId="166" fontId="0" fillId="0" borderId="1" xfId="0" applyNumberFormat="1" applyBorder="1"/>
    <xf numFmtId="10" fontId="0" fillId="0" borderId="0" xfId="0" applyNumberFormat="1" applyAlignment="1">
      <alignment horizontal="right"/>
    </xf>
    <xf numFmtId="0" fontId="0" fillId="0" borderId="0" xfId="0" applyAlignment="1">
      <alignment horizontal="center"/>
    </xf>
    <xf numFmtId="0" fontId="0" fillId="0" borderId="0" xfId="0" applyAlignment="1" applyProtection="1">
      <alignment horizontal="justify" vertical="top" wrapText="1"/>
      <protection locked="0"/>
    </xf>
    <xf numFmtId="0" fontId="7" fillId="0" borderId="0" xfId="0" applyFont="1" applyAlignment="1">
      <alignment horizontal="center"/>
    </xf>
    <xf numFmtId="0" fontId="8" fillId="0" borderId="0" xfId="0" applyFont="1" applyAlignment="1">
      <alignment horizontal="center"/>
    </xf>
    <xf numFmtId="0" fontId="9" fillId="0" borderId="0" xfId="0" applyFont="1" applyAlignment="1">
      <alignment horizontal="center"/>
    </xf>
    <xf numFmtId="0" fontId="0" fillId="0" borderId="0" xfId="0" applyAlignment="1" applyProtection="1">
      <alignment horizontal="center"/>
      <protection locked="0"/>
    </xf>
    <xf numFmtId="14" fontId="0" fillId="0" borderId="0" xfId="0" applyNumberFormat="1" applyAlignment="1" applyProtection="1">
      <alignment horizontal="left"/>
      <protection locked="0"/>
    </xf>
    <xf numFmtId="0" fontId="0" fillId="0" borderId="0" xfId="0" applyProtection="1">
      <protection locked="0"/>
    </xf>
    <xf numFmtId="0" fontId="0" fillId="0" borderId="0" xfId="0"/>
    <xf numFmtId="0" fontId="4" fillId="0" borderId="0" xfId="0" applyFont="1" applyAlignment="1">
      <alignment horizontal="center"/>
    </xf>
    <xf numFmtId="0" fontId="5" fillId="0" borderId="0" xfId="0" applyFont="1" applyAlignment="1">
      <alignment horizontal="justify" vertical="top" wrapText="1"/>
    </xf>
    <xf numFmtId="2" fontId="0" fillId="0" borderId="0" xfId="0" applyNumberFormat="1" applyAlignment="1" applyProtection="1">
      <alignment horizontal="center"/>
      <protection locked="0"/>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433916</xdr:colOff>
          <xdr:row>0</xdr:row>
          <xdr:rowOff>1</xdr:rowOff>
        </xdr:from>
        <xdr:to>
          <xdr:col>12</xdr:col>
          <xdr:colOff>486833</xdr:colOff>
          <xdr:row>5</xdr:row>
          <xdr:rowOff>12362</xdr:rowOff>
        </xdr:to>
        <xdr:pic>
          <xdr:nvPicPr>
            <xdr:cNvPr id="2" name="Picture 1">
              <a:extLst>
                <a:ext uri="{FF2B5EF4-FFF2-40B4-BE49-F238E27FC236}">
                  <a16:creationId xmlns:a16="http://schemas.microsoft.com/office/drawing/2014/main" id="{00000000-0008-0000-0000-000002000000}"/>
                </a:ext>
              </a:extLst>
            </xdr:cNvPr>
            <xdr:cNvPicPr>
              <a:picLocks noChangeAspect="1"/>
              <a:extLst>
                <a:ext uri="{84589F7E-364E-4C9E-8A38-B11213B215E9}">
                  <a14:cameraTool cellRange="Picture" spid="_x0000_s1048"/>
                </a:ext>
              </a:extLst>
            </xdr:cNvPicPr>
          </xdr:nvPicPr>
          <xdr:blipFill>
            <a:blip xmlns:r="http://schemas.openxmlformats.org/officeDocument/2006/relationships" r:embed="rId1"/>
            <a:stretch>
              <a:fillRect/>
            </a:stretch>
          </xdr:blipFill>
          <xdr:spPr>
            <a:xfrm>
              <a:off x="8170333" y="1"/>
              <a:ext cx="1386417" cy="1240028"/>
            </a:xfrm>
            <a:prstGeom prst="rect">
              <a:avLst/>
            </a:prstGeom>
          </xdr:spPr>
        </xdr:pic>
        <xdr:clientData/>
      </xdr:twoCellAnchor>
    </mc:Choice>
    <mc:Fallback/>
  </mc:AlternateContent>
  <xdr:twoCellAnchor editAs="oneCell">
    <xdr:from>
      <xdr:col>0</xdr:col>
      <xdr:colOff>285749</xdr:colOff>
      <xdr:row>1</xdr:row>
      <xdr:rowOff>63500</xdr:rowOff>
    </xdr:from>
    <xdr:to>
      <xdr:col>1</xdr:col>
      <xdr:colOff>228735</xdr:colOff>
      <xdr:row>4</xdr:row>
      <xdr:rowOff>74083</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49" y="254000"/>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PROBES\3P%20Probes%20-%20Weekly\00217932-K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n 4"/>
      <sheetName val="Oven 9"/>
      <sheetName val="Oven 10"/>
      <sheetName val="Oven 11"/>
      <sheetName val="Oven 12"/>
      <sheetName val="Software Validation"/>
    </sheetNames>
    <sheetDataSet>
      <sheetData sheetId="0"/>
      <sheetData sheetId="1"/>
      <sheetData sheetId="2"/>
      <sheetData sheetId="3"/>
      <sheetData sheetId="4">
        <row r="175">
          <cell r="CX175" t="str">
            <v>logo</v>
          </cell>
        </row>
      </sheetData>
      <sheetData sheetId="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BH69"/>
  <sheetViews>
    <sheetView tabSelected="1" view="pageBreakPreview" zoomScale="115" zoomScaleNormal="115" zoomScaleSheetLayoutView="115" workbookViewId="0">
      <selection activeCell="A7" sqref="A7:M7"/>
    </sheetView>
  </sheetViews>
  <sheetFormatPr defaultRowHeight="15" x14ac:dyDescent="0.25"/>
  <cols>
    <col min="1" max="1" width="27" style="4" bestFit="1" customWidth="1"/>
    <col min="2" max="2" width="14" customWidth="1"/>
    <col min="8" max="8" width="9.140625" customWidth="1"/>
    <col min="9" max="9" width="10.5703125" customWidth="1"/>
    <col min="10" max="10" width="9.140625" customWidth="1"/>
    <col min="11" max="11" width="10.7109375" customWidth="1"/>
    <col min="12" max="12" width="9.140625" customWidth="1"/>
    <col min="13" max="13" width="10" customWidth="1"/>
    <col min="17" max="17" width="11" customWidth="1"/>
    <col min="18" max="18" width="11" bestFit="1" customWidth="1"/>
    <col min="19" max="19" width="11" customWidth="1"/>
    <col min="20" max="20" width="11" bestFit="1" customWidth="1"/>
    <col min="30" max="30" width="10.28515625" bestFit="1" customWidth="1"/>
    <col min="49" max="49" width="3.28515625" customWidth="1"/>
  </cols>
  <sheetData>
    <row r="1" spans="1:20" x14ac:dyDescent="0.25">
      <c r="N1" t="s">
        <v>46</v>
      </c>
    </row>
    <row r="2" spans="1:20" ht="28.5" x14ac:dyDescent="0.45">
      <c r="A2" s="58" t="s">
        <v>28</v>
      </c>
      <c r="B2" s="58"/>
      <c r="C2" s="58"/>
      <c r="D2" s="58"/>
      <c r="E2" s="58"/>
      <c r="F2" s="58"/>
      <c r="G2" s="58"/>
      <c r="H2" s="58"/>
      <c r="I2" s="58"/>
      <c r="J2" s="58"/>
      <c r="K2" s="58"/>
      <c r="L2" s="58"/>
      <c r="M2" s="58"/>
    </row>
    <row r="3" spans="1:20" ht="18.75" x14ac:dyDescent="0.3">
      <c r="A3" s="59" t="s">
        <v>29</v>
      </c>
      <c r="B3" s="59"/>
      <c r="C3" s="59"/>
      <c r="D3" s="59"/>
      <c r="E3" s="59"/>
      <c r="F3" s="59"/>
      <c r="G3" s="59"/>
      <c r="H3" s="59"/>
      <c r="I3" s="59"/>
      <c r="J3" s="59"/>
      <c r="K3" s="59"/>
      <c r="L3" s="59"/>
      <c r="M3" s="59"/>
    </row>
    <row r="4" spans="1:20" ht="18.75" x14ac:dyDescent="0.3">
      <c r="A4" s="59" t="s">
        <v>30</v>
      </c>
      <c r="B4" s="59"/>
      <c r="C4" s="59"/>
      <c r="D4" s="59"/>
      <c r="E4" s="59"/>
      <c r="F4" s="59"/>
      <c r="G4" s="59"/>
      <c r="H4" s="59"/>
      <c r="I4" s="59"/>
      <c r="J4" s="59"/>
      <c r="K4" s="59"/>
      <c r="L4" s="59"/>
      <c r="M4" s="59"/>
    </row>
    <row r="5" spans="1:20" x14ac:dyDescent="0.25">
      <c r="A5" s="3"/>
      <c r="B5" s="3"/>
      <c r="C5" s="3"/>
      <c r="D5" s="3"/>
      <c r="E5" s="3"/>
      <c r="F5" s="3"/>
      <c r="G5" s="3"/>
      <c r="H5" s="3"/>
      <c r="I5" s="3"/>
      <c r="J5" s="3"/>
      <c r="K5" s="3"/>
      <c r="L5" s="3"/>
      <c r="M5" s="3"/>
    </row>
    <row r="7" spans="1:20" ht="28.5" x14ac:dyDescent="0.45">
      <c r="A7" s="60" t="s">
        <v>31</v>
      </c>
      <c r="B7" s="60"/>
      <c r="C7" s="60"/>
      <c r="D7" s="60"/>
      <c r="E7" s="60"/>
      <c r="F7" s="60"/>
      <c r="G7" s="60"/>
      <c r="H7" s="60"/>
      <c r="I7" s="60"/>
      <c r="J7" s="60"/>
      <c r="K7" s="60"/>
      <c r="L7" s="60"/>
      <c r="M7" s="60"/>
    </row>
    <row r="8" spans="1:20" ht="23.25" x14ac:dyDescent="0.35">
      <c r="A8" s="14"/>
      <c r="B8" s="14"/>
      <c r="C8" s="14"/>
      <c r="D8" s="14"/>
      <c r="E8" s="14"/>
      <c r="F8" s="14"/>
      <c r="G8" s="14"/>
      <c r="H8" s="14"/>
      <c r="I8" s="14"/>
      <c r="J8" s="14"/>
      <c r="K8" s="14"/>
      <c r="L8" s="14"/>
      <c r="M8" s="14"/>
    </row>
    <row r="10" spans="1:20" x14ac:dyDescent="0.25">
      <c r="A10" s="4" t="s">
        <v>0</v>
      </c>
      <c r="B10" s="33"/>
      <c r="C10" s="34"/>
      <c r="D10" s="61" t="s">
        <v>43</v>
      </c>
      <c r="E10" s="61"/>
      <c r="F10" s="61"/>
      <c r="G10" s="61"/>
      <c r="H10" s="61"/>
      <c r="I10" s="34"/>
      <c r="J10" s="34"/>
      <c r="K10" s="34"/>
      <c r="L10" t="s">
        <v>2</v>
      </c>
    </row>
    <row r="11" spans="1:20" x14ac:dyDescent="0.25">
      <c r="A11" s="4" t="s">
        <v>1</v>
      </c>
      <c r="B11" s="33"/>
      <c r="C11" s="34"/>
      <c r="D11" s="34"/>
      <c r="E11" s="34"/>
      <c r="F11" s="34"/>
      <c r="G11" s="34"/>
      <c r="H11" s="34"/>
      <c r="I11" s="34"/>
      <c r="J11" s="34"/>
      <c r="K11" s="34"/>
      <c r="L11" t="s">
        <v>84</v>
      </c>
    </row>
    <row r="12" spans="1:20" x14ac:dyDescent="0.25">
      <c r="B12" s="35"/>
      <c r="C12" s="34"/>
      <c r="D12" s="34"/>
      <c r="E12" s="34"/>
      <c r="F12" s="34"/>
      <c r="G12" s="34"/>
      <c r="H12" s="34"/>
      <c r="I12" s="34"/>
      <c r="J12" s="34"/>
      <c r="K12" s="34"/>
      <c r="L12" s="34"/>
      <c r="M12" s="34"/>
      <c r="P12" s="1"/>
      <c r="Q12" s="1"/>
      <c r="R12" s="3"/>
      <c r="S12" s="3"/>
      <c r="T12" s="3"/>
    </row>
    <row r="13" spans="1:20" x14ac:dyDescent="0.25">
      <c r="A13" s="4" t="s">
        <v>3</v>
      </c>
      <c r="B13" s="64" t="s">
        <v>44</v>
      </c>
      <c r="C13" s="64"/>
      <c r="D13" s="64"/>
      <c r="E13" s="64"/>
      <c r="F13" s="64"/>
      <c r="K13" s="4" t="s">
        <v>4</v>
      </c>
      <c r="L13" s="33"/>
      <c r="M13" s="34"/>
      <c r="P13" s="2"/>
      <c r="Q13" s="3"/>
      <c r="R13" s="2"/>
      <c r="S13" s="2"/>
      <c r="T13" s="6"/>
    </row>
    <row r="14" spans="1:20" x14ac:dyDescent="0.25">
      <c r="A14" s="4" t="s">
        <v>5</v>
      </c>
      <c r="B14" s="34"/>
      <c r="C14" s="34"/>
      <c r="D14" s="34"/>
      <c r="E14" s="34"/>
      <c r="F14" s="34"/>
      <c r="G14" s="34"/>
      <c r="H14" s="34"/>
      <c r="I14" s="34"/>
      <c r="K14" s="4" t="s">
        <v>19</v>
      </c>
      <c r="L14" s="62"/>
      <c r="M14" s="63"/>
      <c r="P14" s="2"/>
      <c r="Q14" s="3"/>
      <c r="R14" s="2"/>
      <c r="S14" s="2"/>
      <c r="T14" s="6"/>
    </row>
    <row r="15" spans="1:20" x14ac:dyDescent="0.25">
      <c r="A15" s="4" t="s">
        <v>6</v>
      </c>
      <c r="B15" s="34"/>
      <c r="C15" s="34"/>
      <c r="D15" s="34"/>
      <c r="E15" s="34"/>
      <c r="F15" s="34"/>
      <c r="G15" s="34"/>
      <c r="H15" s="34"/>
      <c r="I15" s="34"/>
      <c r="K15" s="4" t="s">
        <v>45</v>
      </c>
      <c r="L15" s="62"/>
      <c r="M15" s="63"/>
      <c r="P15" s="2"/>
      <c r="Q15" s="3"/>
      <c r="R15" s="2"/>
      <c r="S15" s="2"/>
      <c r="T15" s="6"/>
    </row>
    <row r="16" spans="1:20" x14ac:dyDescent="0.25">
      <c r="A16" s="4" t="s">
        <v>7</v>
      </c>
      <c r="B16" s="34"/>
      <c r="C16" s="34"/>
      <c r="D16" s="34"/>
      <c r="E16" s="34"/>
      <c r="F16" s="34"/>
      <c r="G16" s="34"/>
      <c r="H16" s="34"/>
      <c r="I16" s="34"/>
      <c r="K16" s="4" t="s">
        <v>33</v>
      </c>
      <c r="L16" s="33"/>
      <c r="M16" s="34"/>
      <c r="P16" s="2"/>
      <c r="Q16" s="3"/>
      <c r="T16" s="6"/>
    </row>
    <row r="17" spans="1:60" x14ac:dyDescent="0.25">
      <c r="A17" s="4" t="s">
        <v>8</v>
      </c>
      <c r="B17" s="34"/>
      <c r="C17" s="34"/>
      <c r="D17" s="34"/>
      <c r="E17" s="34"/>
      <c r="F17" s="34"/>
      <c r="G17" s="34"/>
      <c r="H17" s="34"/>
      <c r="I17" s="34"/>
      <c r="K17" s="4" t="s">
        <v>34</v>
      </c>
      <c r="L17" s="51"/>
      <c r="M17" s="34"/>
      <c r="R17" s="2"/>
      <c r="S17" s="3"/>
      <c r="T17" s="4"/>
      <c r="U17" s="2"/>
      <c r="V17" s="9"/>
    </row>
    <row r="18" spans="1:60" s="25" customFormat="1" ht="3.75" customHeight="1" x14ac:dyDescent="0.25">
      <c r="A18" s="21"/>
      <c r="B18" s="21"/>
      <c r="C18" s="22"/>
      <c r="D18" s="22"/>
      <c r="E18" s="22"/>
      <c r="F18" s="22"/>
      <c r="G18" s="22"/>
      <c r="H18" s="22"/>
      <c r="I18" s="22"/>
      <c r="J18" s="23"/>
      <c r="K18" s="24"/>
      <c r="L18" s="23"/>
      <c r="M18" s="24"/>
      <c r="R18" s="26"/>
      <c r="S18" s="21"/>
      <c r="T18" s="27"/>
      <c r="U18" s="28"/>
      <c r="V18" s="29"/>
    </row>
    <row r="19" spans="1:60" x14ac:dyDescent="0.25">
      <c r="A19" s="4" t="s">
        <v>24</v>
      </c>
      <c r="B19" s="16" t="s">
        <v>81</v>
      </c>
      <c r="J19" s="4"/>
      <c r="Q19" s="7"/>
      <c r="R19" s="3"/>
      <c r="T19" s="4"/>
      <c r="U19" s="2"/>
      <c r="V19" s="9"/>
    </row>
    <row r="20" spans="1:60" x14ac:dyDescent="0.25">
      <c r="A20" s="15" t="s">
        <v>25</v>
      </c>
      <c r="B20" s="16" t="s">
        <v>81</v>
      </c>
      <c r="J20" s="4"/>
      <c r="R20" s="3"/>
      <c r="T20" s="11"/>
      <c r="U20" s="12"/>
      <c r="V20" s="9"/>
    </row>
    <row r="21" spans="1:60" s="25" customFormat="1" ht="3.75" customHeight="1" x14ac:dyDescent="0.25">
      <c r="A21" s="21"/>
      <c r="B21" s="21"/>
      <c r="C21" s="22"/>
      <c r="D21" s="22"/>
      <c r="E21" s="22"/>
      <c r="F21" s="22"/>
      <c r="G21" s="22"/>
      <c r="H21" s="22"/>
      <c r="I21" s="22"/>
      <c r="J21" s="23"/>
      <c r="K21" s="24"/>
      <c r="L21" s="23"/>
      <c r="M21" s="24"/>
      <c r="R21" s="21"/>
      <c r="T21" s="27"/>
      <c r="U21" s="28"/>
      <c r="V21" s="29"/>
    </row>
    <row r="22" spans="1:60" x14ac:dyDescent="0.25">
      <c r="A22" s="4" t="s">
        <v>17</v>
      </c>
      <c r="B22" t="s">
        <v>82</v>
      </c>
      <c r="C22" s="34"/>
      <c r="D22" s="34"/>
      <c r="E22" s="34"/>
      <c r="F22" s="34"/>
      <c r="G22" s="34"/>
      <c r="H22" s="34"/>
      <c r="I22" s="34"/>
      <c r="J22" s="34"/>
      <c r="K22" s="34"/>
      <c r="L22" s="34"/>
      <c r="M22" s="34"/>
      <c r="R22" s="5"/>
      <c r="U22" s="5"/>
    </row>
    <row r="23" spans="1:60" x14ac:dyDescent="0.25">
      <c r="A23" s="4" t="s">
        <v>18</v>
      </c>
      <c r="B23" t="s">
        <v>42</v>
      </c>
      <c r="C23" s="34"/>
      <c r="D23" s="34"/>
      <c r="E23" s="34"/>
      <c r="F23" s="34"/>
      <c r="G23" s="34"/>
      <c r="H23" s="34"/>
      <c r="I23" s="34"/>
      <c r="J23" s="34"/>
      <c r="K23" s="34"/>
      <c r="L23" s="34"/>
      <c r="M23" s="34"/>
      <c r="R23" s="2"/>
      <c r="U23" s="5"/>
    </row>
    <row r="24" spans="1:60" s="25" customFormat="1" ht="3.75" customHeight="1" x14ac:dyDescent="0.25">
      <c r="A24" s="21"/>
      <c r="B24" s="21"/>
      <c r="C24" s="22"/>
      <c r="D24" s="22"/>
      <c r="E24" s="22"/>
      <c r="F24" s="22"/>
      <c r="G24" s="22"/>
      <c r="H24" s="22"/>
      <c r="I24" s="22"/>
      <c r="J24" s="23"/>
      <c r="K24" s="24"/>
      <c r="L24" s="23"/>
      <c r="M24" s="24"/>
      <c r="R24" s="21"/>
    </row>
    <row r="25" spans="1:60" x14ac:dyDescent="0.25">
      <c r="R25" s="2"/>
      <c r="U25" s="10"/>
      <c r="V25" s="9"/>
    </row>
    <row r="26" spans="1:60" x14ac:dyDescent="0.25">
      <c r="A26" s="65" t="s">
        <v>83</v>
      </c>
      <c r="B26" s="65"/>
      <c r="C26" s="65"/>
      <c r="D26" s="65"/>
      <c r="E26" s="65"/>
      <c r="F26" s="65"/>
      <c r="G26" s="65"/>
      <c r="H26" s="65"/>
      <c r="I26" s="65"/>
      <c r="J26" s="65"/>
      <c r="K26" s="65"/>
      <c r="L26" s="65"/>
      <c r="M26" s="65"/>
      <c r="R26" s="2"/>
      <c r="U26" s="10"/>
      <c r="V26" s="9"/>
      <c r="AL26" s="56" t="s">
        <v>71</v>
      </c>
      <c r="AM26" s="56"/>
      <c r="AO26" s="56" t="s">
        <v>72</v>
      </c>
      <c r="AP26" s="56"/>
      <c r="AR26" s="56" t="s">
        <v>73</v>
      </c>
      <c r="AS26" s="56"/>
      <c r="AU26" s="56" t="s">
        <v>74</v>
      </c>
      <c r="AV26" s="56"/>
      <c r="AW26" s="3"/>
      <c r="AX26" s="56" t="s">
        <v>59</v>
      </c>
      <c r="AY26" s="56"/>
    </row>
    <row r="27" spans="1:60" x14ac:dyDescent="0.25">
      <c r="B27" s="30"/>
      <c r="C27" s="30"/>
      <c r="D27" s="30"/>
      <c r="E27" s="30"/>
      <c r="F27" s="30"/>
      <c r="G27" s="30"/>
      <c r="H27" s="30"/>
      <c r="I27" s="30"/>
      <c r="J27" s="30"/>
      <c r="K27" s="30"/>
      <c r="L27" s="30"/>
      <c r="M27" s="30"/>
      <c r="R27" s="2"/>
      <c r="V27" s="9"/>
      <c r="AD27" t="s">
        <v>50</v>
      </c>
      <c r="AF27" t="s">
        <v>51</v>
      </c>
      <c r="AG27" t="s">
        <v>52</v>
      </c>
      <c r="AH27" t="s">
        <v>53</v>
      </c>
      <c r="AI27" t="s">
        <v>54</v>
      </c>
      <c r="AJ27" t="s">
        <v>55</v>
      </c>
      <c r="AK27" t="s">
        <v>58</v>
      </c>
      <c r="AL27" t="s">
        <v>56</v>
      </c>
      <c r="AM27" t="s">
        <v>57</v>
      </c>
      <c r="AO27" t="s">
        <v>56</v>
      </c>
      <c r="AP27" t="s">
        <v>57</v>
      </c>
      <c r="AR27" t="s">
        <v>56</v>
      </c>
      <c r="AS27" t="s">
        <v>57</v>
      </c>
      <c r="AU27" t="s">
        <v>56</v>
      </c>
      <c r="AV27" t="s">
        <v>57</v>
      </c>
      <c r="AX27" t="s">
        <v>56</v>
      </c>
      <c r="AY27" t="s">
        <v>57</v>
      </c>
      <c r="BA27" t="s">
        <v>64</v>
      </c>
      <c r="BC27" t="s">
        <v>65</v>
      </c>
      <c r="BE27" t="s">
        <v>68</v>
      </c>
      <c r="BG27" t="s">
        <v>60</v>
      </c>
      <c r="BH27">
        <f>STDEV(AF28:AJ28)</f>
        <v>17.214335111567141</v>
      </c>
    </row>
    <row r="28" spans="1:60" x14ac:dyDescent="0.25">
      <c r="A28" s="56" t="s">
        <v>38</v>
      </c>
      <c r="B28" s="56"/>
      <c r="C28" s="3" t="s">
        <v>66</v>
      </c>
      <c r="D28" s="3" t="s">
        <v>69</v>
      </c>
      <c r="E28" s="30"/>
      <c r="F28" s="30"/>
      <c r="G28" s="30"/>
      <c r="H28" s="4" t="s">
        <v>49</v>
      </c>
      <c r="I28" t="str">
        <f>CONCATENATE(BE28," ",D28)</f>
        <v>11 HV</v>
      </c>
      <c r="J28" s="30"/>
      <c r="K28" s="4" t="s">
        <v>79</v>
      </c>
      <c r="L28" s="55">
        <f>(BE28/U29)/B31</f>
        <v>1.0680109364319923E-2</v>
      </c>
      <c r="M28" s="53"/>
      <c r="N28" s="13"/>
      <c r="Q28" t="s">
        <v>77</v>
      </c>
      <c r="R28" s="5"/>
      <c r="S28" t="s">
        <v>78</v>
      </c>
      <c r="U28" t="s">
        <v>75</v>
      </c>
      <c r="W28" s="8"/>
      <c r="Y28" s="8"/>
      <c r="Z28" s="7"/>
      <c r="AD28" s="52">
        <f>B31</f>
        <v>41.8</v>
      </c>
      <c r="AF28" s="7">
        <f>IF(D30=0,"",D30)</f>
        <v>550</v>
      </c>
      <c r="AG28" s="7">
        <f t="shared" ref="AG28:AI28" si="0">IF(E30=0,"",E30)</f>
        <v>518</v>
      </c>
      <c r="AH28" s="7">
        <f t="shared" si="0"/>
        <v>523</v>
      </c>
      <c r="AI28" s="7" t="str">
        <f t="shared" si="0"/>
        <v/>
      </c>
      <c r="AJ28" s="7"/>
      <c r="AK28" s="7">
        <f>I30</f>
        <v>530.33333333333337</v>
      </c>
      <c r="AL28">
        <v>4.3</v>
      </c>
      <c r="AM28">
        <v>3.5634999999999999</v>
      </c>
      <c r="AN28" t="s">
        <v>69</v>
      </c>
      <c r="AO28">
        <v>10</v>
      </c>
      <c r="AP28">
        <v>8.7182999999999993</v>
      </c>
      <c r="AR28">
        <v>13</v>
      </c>
      <c r="AS28">
        <v>11.443</v>
      </c>
      <c r="AU28">
        <f>IF(AK28&lt;240,(AL28),IF(AK28&gt;600,(AR28),(AO28)))</f>
        <v>10</v>
      </c>
      <c r="AV28">
        <f>IF(AK28&lt;240,(AM28),IF(AK28&gt;600,(AS28),(AP28)))</f>
        <v>8.7182999999999993</v>
      </c>
      <c r="AX28">
        <f>IF(D28="HV",AU28,AU29)</f>
        <v>10</v>
      </c>
      <c r="AY28">
        <f>IF(D28="HV",AV28,AV29)</f>
        <v>8.7182999999999993</v>
      </c>
      <c r="BA28">
        <f>((SQRT(BD30+BH28)))*2</f>
        <v>10.334538871548185</v>
      </c>
      <c r="BC28">
        <f>MAX(AU28,BA28)</f>
        <v>10.334538871548185</v>
      </c>
      <c r="BE28">
        <f>ROUNDUP(BC28,2-(1+INT(LOG10(ABS(BC28)))))</f>
        <v>11</v>
      </c>
      <c r="BG28" s="4" t="s">
        <v>61</v>
      </c>
      <c r="BH28">
        <f>BH27/SQRT(5)</f>
        <v>7.6984846993851104</v>
      </c>
    </row>
    <row r="29" spans="1:60" x14ac:dyDescent="0.25">
      <c r="A29" s="36" t="s">
        <v>47</v>
      </c>
      <c r="B29" s="3" t="s">
        <v>9</v>
      </c>
      <c r="D29" s="18" t="s">
        <v>10</v>
      </c>
      <c r="E29" s="18" t="s">
        <v>11</v>
      </c>
      <c r="F29" s="18" t="s">
        <v>12</v>
      </c>
      <c r="G29" s="18" t="s">
        <v>13</v>
      </c>
      <c r="H29" s="18" t="s">
        <v>14</v>
      </c>
      <c r="I29" s="17" t="s">
        <v>15</v>
      </c>
      <c r="J29" s="17" t="s">
        <v>20</v>
      </c>
      <c r="K29" s="17" t="s">
        <v>23</v>
      </c>
      <c r="L29" s="17" t="s">
        <v>21</v>
      </c>
      <c r="M29" s="17" t="s">
        <v>22</v>
      </c>
      <c r="Q29" s="18">
        <v>530.79999999999995</v>
      </c>
      <c r="R29" s="2"/>
      <c r="S29" s="54">
        <v>506.16</v>
      </c>
      <c r="U29" s="7">
        <f>Q29-S29</f>
        <v>24.63999999999993</v>
      </c>
      <c r="W29" s="3"/>
      <c r="Y29" s="8"/>
      <c r="Z29" s="7"/>
      <c r="AL29">
        <v>5.2</v>
      </c>
      <c r="AM29">
        <v>4.6403999999999996</v>
      </c>
      <c r="AN29" t="s">
        <v>67</v>
      </c>
      <c r="AO29">
        <v>12</v>
      </c>
      <c r="AP29">
        <v>11.507999999999999</v>
      </c>
      <c r="AR29">
        <v>15</v>
      </c>
      <c r="AS29">
        <v>14.28</v>
      </c>
      <c r="AU29">
        <f>IF(AK28&lt;250,(AL29),IF(AK28&gt;650,(AR29),(AO29)))</f>
        <v>12</v>
      </c>
      <c r="AV29">
        <f>IF(AK28&lt;240,(AM29),IF(AK28&gt;600,(AS29),(AP29)))</f>
        <v>11.507999999999999</v>
      </c>
      <c r="BD29" t="s">
        <v>70</v>
      </c>
      <c r="BG29" s="4" t="s">
        <v>62</v>
      </c>
      <c r="BH29">
        <f>BH28*(2.87/2)</f>
        <v>11.047325543617633</v>
      </c>
    </row>
    <row r="30" spans="1:60" x14ac:dyDescent="0.25">
      <c r="A30" s="37" t="s">
        <v>76</v>
      </c>
      <c r="B30" s="37"/>
      <c r="C30" s="32" t="s">
        <v>39</v>
      </c>
      <c r="D30" s="39">
        <v>550</v>
      </c>
      <c r="E30" s="39">
        <v>518</v>
      </c>
      <c r="F30" s="39">
        <v>523</v>
      </c>
      <c r="G30" s="39"/>
      <c r="H30" s="39"/>
      <c r="I30" s="19">
        <f>AVERAGE(D30:H30)</f>
        <v>530.33333333333337</v>
      </c>
      <c r="J30" s="20">
        <f>(MAX(D31:H31)-MIN(D31:H31))/K31</f>
        <v>1.2095817851213655E-2</v>
      </c>
      <c r="K30" s="41">
        <v>0.04</v>
      </c>
      <c r="L30" s="20">
        <f>M31/B31</f>
        <v>8.6921850079745653E-3</v>
      </c>
      <c r="M30" s="41">
        <v>0.02</v>
      </c>
      <c r="R30" s="2"/>
      <c r="BA30" s="4"/>
      <c r="BD30">
        <f>(AY28/2)*(AY28/2)</f>
        <v>19.002188722499998</v>
      </c>
      <c r="BG30" t="s">
        <v>63</v>
      </c>
      <c r="BH30">
        <f>BH29^2</f>
        <v>122.04340166666664</v>
      </c>
    </row>
    <row r="31" spans="1:60" x14ac:dyDescent="0.25">
      <c r="A31" s="5" t="s">
        <v>41</v>
      </c>
      <c r="B31" s="38">
        <v>41.8</v>
      </c>
      <c r="C31" s="32" t="s">
        <v>37</v>
      </c>
      <c r="D31" s="40">
        <v>41.91</v>
      </c>
      <c r="E31" s="40">
        <v>42.42</v>
      </c>
      <c r="F31" s="40">
        <v>42.16</v>
      </c>
      <c r="G31" s="40"/>
      <c r="H31" s="40"/>
      <c r="I31" s="8"/>
      <c r="J31" s="32" t="s">
        <v>36</v>
      </c>
      <c r="K31" s="31">
        <f>AVERAGE(D31:H31)</f>
        <v>42.163333333333334</v>
      </c>
      <c r="L31" s="32" t="s">
        <v>16</v>
      </c>
      <c r="M31" s="31">
        <f>K31-B31</f>
        <v>0.36333333333333684</v>
      </c>
      <c r="R31" s="2"/>
      <c r="AL31" s="56" t="s">
        <v>71</v>
      </c>
      <c r="AM31" s="56"/>
      <c r="AO31" s="56" t="s">
        <v>72</v>
      </c>
      <c r="AP31" s="56"/>
      <c r="AR31" s="56" t="s">
        <v>73</v>
      </c>
      <c r="AS31" s="56"/>
      <c r="AU31" s="56" t="s">
        <v>74</v>
      </c>
      <c r="AV31" s="56"/>
      <c r="AW31" s="3"/>
      <c r="AX31" s="56" t="s">
        <v>59</v>
      </c>
      <c r="AY31" s="56"/>
      <c r="BA31" s="4"/>
    </row>
    <row r="32" spans="1:60" x14ac:dyDescent="0.25">
      <c r="B32" s="34"/>
      <c r="R32" s="2"/>
      <c r="AD32" t="s">
        <v>50</v>
      </c>
      <c r="AF32" t="s">
        <v>51</v>
      </c>
      <c r="AG32" t="s">
        <v>52</v>
      </c>
      <c r="AH32" t="s">
        <v>53</v>
      </c>
      <c r="AI32" t="s">
        <v>54</v>
      </c>
      <c r="AJ32" t="s">
        <v>55</v>
      </c>
      <c r="AK32" t="s">
        <v>58</v>
      </c>
      <c r="AL32" t="s">
        <v>56</v>
      </c>
      <c r="AM32" t="s">
        <v>57</v>
      </c>
      <c r="AO32" t="s">
        <v>56</v>
      </c>
      <c r="AP32" t="s">
        <v>57</v>
      </c>
      <c r="AR32" t="s">
        <v>56</v>
      </c>
      <c r="AS32" t="s">
        <v>57</v>
      </c>
      <c r="AU32" t="s">
        <v>56</v>
      </c>
      <c r="AV32" t="s">
        <v>57</v>
      </c>
      <c r="AX32" t="s">
        <v>56</v>
      </c>
      <c r="AY32" t="s">
        <v>57</v>
      </c>
      <c r="BA32" t="s">
        <v>64</v>
      </c>
      <c r="BC32" t="s">
        <v>65</v>
      </c>
      <c r="BE32" t="s">
        <v>68</v>
      </c>
      <c r="BG32" t="s">
        <v>60</v>
      </c>
      <c r="BH32">
        <f>STDEV(AF33:AJ33)</f>
        <v>3.6055512754639891</v>
      </c>
    </row>
    <row r="33" spans="1:60" x14ac:dyDescent="0.25">
      <c r="A33" s="56" t="s">
        <v>38</v>
      </c>
      <c r="B33" s="56"/>
      <c r="C33" s="3" t="s">
        <v>66</v>
      </c>
      <c r="D33" s="3" t="s">
        <v>67</v>
      </c>
      <c r="E33" s="30"/>
      <c r="F33" s="30"/>
      <c r="G33" s="30"/>
      <c r="H33" s="4" t="s">
        <v>49</v>
      </c>
      <c r="I33" t="str">
        <f>CONCATENATE(BE33," ", D33)</f>
        <v>12 HK</v>
      </c>
      <c r="J33" s="30"/>
      <c r="K33" s="4" t="s">
        <v>79</v>
      </c>
      <c r="L33" s="55">
        <f>(BE33/U34)/B36</f>
        <v>1.1651028397439915E-2</v>
      </c>
      <c r="M33" s="30"/>
      <c r="Q33" t="s">
        <v>77</v>
      </c>
      <c r="R33" s="5"/>
      <c r="S33" t="s">
        <v>78</v>
      </c>
      <c r="U33" t="s">
        <v>75</v>
      </c>
      <c r="AD33" s="52">
        <f>B36</f>
        <v>41.8</v>
      </c>
      <c r="AF33" s="7">
        <f>IF(D35=0,"",D35)</f>
        <v>525</v>
      </c>
      <c r="AG33" s="7">
        <f t="shared" ref="AG33" si="1">IF(E35=0,"",E35)</f>
        <v>518</v>
      </c>
      <c r="AH33" s="7">
        <f t="shared" ref="AH33" si="2">IF(F35=0,"",F35)</f>
        <v>523</v>
      </c>
      <c r="AI33" s="7" t="str">
        <f t="shared" ref="AI33" si="3">IF(G35=0,"",G35)</f>
        <v/>
      </c>
      <c r="AJ33" s="7"/>
      <c r="AK33" s="7">
        <f>I35</f>
        <v>522</v>
      </c>
      <c r="AL33">
        <v>4.3</v>
      </c>
      <c r="AM33">
        <v>3.5634999999999999</v>
      </c>
      <c r="AN33" t="s">
        <v>69</v>
      </c>
      <c r="AO33">
        <v>10</v>
      </c>
      <c r="AP33">
        <v>8.7182999999999993</v>
      </c>
      <c r="AR33">
        <v>13</v>
      </c>
      <c r="AS33">
        <v>11.443</v>
      </c>
      <c r="AU33">
        <f>IF(AK33&lt;240,(AL33),IF(AK33&gt;600,(AR33),(AO33)))</f>
        <v>10</v>
      </c>
      <c r="AV33">
        <f>IF(AK33&lt;240,(AM33),IF(AK33&gt;600,(AS33),(AP33)))</f>
        <v>8.7182999999999993</v>
      </c>
      <c r="AX33">
        <f>IF(D33="HV",AU33,AU34)</f>
        <v>12</v>
      </c>
      <c r="AY33">
        <f>IF(D33="HV",AV33,AV34)</f>
        <v>11.507999999999999</v>
      </c>
      <c r="BA33">
        <f>((SQRT(BD35+BH33)))*2</f>
        <v>11.784900092857759</v>
      </c>
      <c r="BC33">
        <f>MAX(AU33,BA33)</f>
        <v>11.784900092857759</v>
      </c>
      <c r="BE33">
        <f>ROUNDUP(BC33,2-(1+INT(LOG10(ABS(BC33)))))</f>
        <v>12</v>
      </c>
      <c r="BG33" s="4" t="s">
        <v>61</v>
      </c>
      <c r="BH33">
        <f>BH32/SQRT(5)</f>
        <v>1.6124515496597098</v>
      </c>
    </row>
    <row r="34" spans="1:60" x14ac:dyDescent="0.25">
      <c r="A34" s="36" t="s">
        <v>48</v>
      </c>
      <c r="B34" s="37" t="s">
        <v>9</v>
      </c>
      <c r="D34" s="18" t="s">
        <v>10</v>
      </c>
      <c r="E34" s="18" t="s">
        <v>11</v>
      </c>
      <c r="F34" s="18" t="s">
        <v>12</v>
      </c>
      <c r="G34" s="18" t="s">
        <v>13</v>
      </c>
      <c r="H34" s="18" t="s">
        <v>14</v>
      </c>
      <c r="I34" s="17" t="s">
        <v>15</v>
      </c>
      <c r="J34" s="17" t="s">
        <v>20</v>
      </c>
      <c r="K34" s="17" t="s">
        <v>23</v>
      </c>
      <c r="L34" s="17" t="s">
        <v>21</v>
      </c>
      <c r="M34" s="17" t="s">
        <v>22</v>
      </c>
      <c r="Q34" s="18">
        <v>530.79999999999995</v>
      </c>
      <c r="R34" s="2"/>
      <c r="S34" s="54">
        <v>506.16</v>
      </c>
      <c r="U34" s="7">
        <f>Q34-S34</f>
        <v>24.63999999999993</v>
      </c>
      <c r="V34" s="9"/>
      <c r="AL34">
        <v>5.2</v>
      </c>
      <c r="AM34">
        <v>4.6403999999999996</v>
      </c>
      <c r="AN34" t="s">
        <v>67</v>
      </c>
      <c r="AO34">
        <v>12</v>
      </c>
      <c r="AP34">
        <v>11.507999999999999</v>
      </c>
      <c r="AR34">
        <v>15</v>
      </c>
      <c r="AS34">
        <v>14.28</v>
      </c>
      <c r="AU34">
        <f>IF(AK33&lt;250,(AL34),IF(AK33&gt;650,(AR34),(AO34)))</f>
        <v>12</v>
      </c>
      <c r="AV34">
        <f>IF(AK33&lt;240,(AM34),IF(AK34&gt;600,(AS34),(AP34)))</f>
        <v>11.507999999999999</v>
      </c>
      <c r="BD34" t="s">
        <v>70</v>
      </c>
      <c r="BG34" s="4" t="s">
        <v>62</v>
      </c>
      <c r="BH34">
        <f>BH33*(2.87/2)</f>
        <v>2.3138679737616838</v>
      </c>
    </row>
    <row r="35" spans="1:60" x14ac:dyDescent="0.25">
      <c r="A35" s="37"/>
      <c r="B35" s="37"/>
      <c r="C35" s="32" t="s">
        <v>39</v>
      </c>
      <c r="D35" s="39">
        <v>525</v>
      </c>
      <c r="E35" s="39">
        <v>518</v>
      </c>
      <c r="F35" s="39">
        <v>523</v>
      </c>
      <c r="G35" s="39"/>
      <c r="H35" s="39"/>
      <c r="I35" s="19">
        <f>AVERAGE(D35:H35)</f>
        <v>522</v>
      </c>
      <c r="J35" s="20">
        <f>(MAX(D36:H36)-MIN(D36:H36))/K36</f>
        <v>1.2095817851213655E-2</v>
      </c>
      <c r="K35" s="41">
        <v>0.08</v>
      </c>
      <c r="L35" s="20">
        <f>M36/B36</f>
        <v>8.6921850079745653E-3</v>
      </c>
      <c r="M35" s="41">
        <v>0.02</v>
      </c>
      <c r="R35" s="2"/>
      <c r="U35" s="10"/>
      <c r="V35" s="9"/>
      <c r="BA35" s="4"/>
      <c r="BD35">
        <f>(AY33/2)*(AY33/2)</f>
        <v>33.108515999999995</v>
      </c>
      <c r="BG35" t="s">
        <v>63</v>
      </c>
      <c r="BH35">
        <f>BH34^2</f>
        <v>5.3539850000000007</v>
      </c>
    </row>
    <row r="36" spans="1:60" x14ac:dyDescent="0.25">
      <c r="A36" s="5" t="s">
        <v>41</v>
      </c>
      <c r="B36" s="38">
        <v>41.8</v>
      </c>
      <c r="C36" s="32" t="s">
        <v>37</v>
      </c>
      <c r="D36" s="40">
        <v>41.91</v>
      </c>
      <c r="E36" s="40">
        <v>42.42</v>
      </c>
      <c r="F36" s="40">
        <v>42.16</v>
      </c>
      <c r="G36" s="40"/>
      <c r="H36" s="40"/>
      <c r="I36" s="8"/>
      <c r="J36" s="32" t="s">
        <v>36</v>
      </c>
      <c r="K36" s="31">
        <f>AVERAGE(D36:H36)</f>
        <v>42.163333333333334</v>
      </c>
      <c r="L36" s="32" t="s">
        <v>16</v>
      </c>
      <c r="M36" s="31">
        <f>K36-B36</f>
        <v>0.36333333333333684</v>
      </c>
      <c r="R36" s="2"/>
      <c r="U36" s="5"/>
      <c r="V36" s="9"/>
      <c r="AD36" s="52"/>
      <c r="AF36" s="7"/>
      <c r="AG36" s="7"/>
      <c r="AH36" s="7"/>
      <c r="AI36" s="7"/>
      <c r="AJ36" s="7"/>
      <c r="AK36" s="7"/>
    </row>
    <row r="37" spans="1:60" x14ac:dyDescent="0.25">
      <c r="A37" s="42"/>
      <c r="B37" s="34"/>
      <c r="C37" s="34"/>
      <c r="D37" s="43"/>
      <c r="E37" s="43"/>
      <c r="F37" s="43"/>
      <c r="G37" s="34"/>
      <c r="H37" s="34"/>
      <c r="I37" s="34"/>
      <c r="J37" s="34"/>
      <c r="K37" s="34"/>
      <c r="L37" s="34"/>
      <c r="M37" s="34"/>
      <c r="R37" s="2"/>
      <c r="U37" s="5"/>
      <c r="V37" s="9"/>
    </row>
    <row r="38" spans="1:60" x14ac:dyDescent="0.25">
      <c r="A38" s="61"/>
      <c r="B38" s="61"/>
      <c r="C38" s="43"/>
      <c r="D38" s="43"/>
      <c r="E38" s="43"/>
      <c r="F38" s="43"/>
      <c r="G38" s="43"/>
      <c r="H38" s="43"/>
      <c r="I38" s="43"/>
      <c r="J38" s="43"/>
      <c r="K38" s="43"/>
      <c r="L38" s="43"/>
      <c r="M38" s="43"/>
      <c r="R38" s="2"/>
      <c r="U38" s="5"/>
      <c r="V38" s="9"/>
      <c r="BA38" s="4"/>
    </row>
    <row r="39" spans="1:60" x14ac:dyDescent="0.25">
      <c r="A39" s="36"/>
      <c r="B39" s="37"/>
      <c r="C39" s="34"/>
      <c r="D39" s="34"/>
      <c r="E39" s="34"/>
      <c r="F39" s="34"/>
      <c r="G39" s="34"/>
      <c r="H39" s="34"/>
      <c r="I39" s="37"/>
      <c r="J39" s="37"/>
      <c r="K39" s="37"/>
      <c r="L39" s="37"/>
      <c r="M39" s="37"/>
      <c r="R39" s="2"/>
      <c r="U39" s="5"/>
      <c r="V39" s="9"/>
      <c r="BA39" s="4"/>
    </row>
    <row r="40" spans="1:60" x14ac:dyDescent="0.25">
      <c r="A40" s="37"/>
      <c r="B40" s="37"/>
      <c r="C40" s="44"/>
      <c r="D40" s="45"/>
      <c r="E40" s="45"/>
      <c r="F40" s="45"/>
      <c r="G40" s="45"/>
      <c r="H40" s="45"/>
      <c r="I40" s="45"/>
      <c r="J40" s="46"/>
      <c r="K40" s="47"/>
      <c r="L40" s="46"/>
      <c r="M40" s="47"/>
      <c r="R40" s="2"/>
      <c r="U40" s="5"/>
      <c r="V40" s="9"/>
    </row>
    <row r="41" spans="1:60" x14ac:dyDescent="0.25">
      <c r="A41" s="67"/>
      <c r="B41" s="67"/>
      <c r="C41" s="44"/>
      <c r="D41" s="48"/>
      <c r="E41" s="48"/>
      <c r="F41" s="48"/>
      <c r="G41" s="48"/>
      <c r="H41" s="48"/>
      <c r="I41" s="45"/>
      <c r="J41" s="44"/>
      <c r="K41" s="49"/>
      <c r="L41" s="44"/>
      <c r="M41" s="49"/>
      <c r="R41" s="2"/>
      <c r="U41" s="5"/>
      <c r="V41" s="9"/>
    </row>
    <row r="42" spans="1:60" x14ac:dyDescent="0.25">
      <c r="A42" s="42"/>
      <c r="B42" s="34"/>
      <c r="C42" s="34"/>
      <c r="D42" s="34"/>
      <c r="E42" s="34"/>
      <c r="F42" s="34"/>
      <c r="G42" s="34"/>
      <c r="H42" s="34"/>
      <c r="I42" s="34"/>
      <c r="J42" s="34"/>
      <c r="K42" s="34"/>
      <c r="L42" s="34"/>
      <c r="M42" s="34"/>
      <c r="R42" s="5"/>
    </row>
    <row r="43" spans="1:60" x14ac:dyDescent="0.25">
      <c r="A43" s="42"/>
      <c r="B43" s="42"/>
      <c r="C43" s="50"/>
      <c r="D43" s="45"/>
      <c r="E43" s="45"/>
      <c r="F43" s="45"/>
      <c r="G43" s="45"/>
      <c r="H43" s="34"/>
      <c r="I43" s="34"/>
      <c r="J43" s="42"/>
      <c r="K43" s="42"/>
      <c r="L43" s="45"/>
      <c r="M43" s="47"/>
      <c r="R43" s="5"/>
    </row>
    <row r="44" spans="1:60" x14ac:dyDescent="0.25">
      <c r="B44" s="4"/>
      <c r="C44" s="4"/>
      <c r="D44" s="4"/>
      <c r="E44" s="4"/>
      <c r="F44" s="4"/>
      <c r="G44" s="4"/>
      <c r="H44" s="4" t="s">
        <v>35</v>
      </c>
      <c r="I44" s="33"/>
      <c r="J44" s="42"/>
      <c r="K44" s="42"/>
      <c r="L44" s="42"/>
      <c r="M44" s="42"/>
    </row>
    <row r="45" spans="1:60" ht="15" customHeight="1" x14ac:dyDescent="0.25">
      <c r="B45" s="4"/>
      <c r="C45" s="4"/>
      <c r="D45" s="4"/>
      <c r="E45" s="4"/>
      <c r="F45" s="4"/>
      <c r="G45" s="4"/>
      <c r="H45" s="4"/>
      <c r="I45" s="4"/>
      <c r="J45" s="4"/>
      <c r="K45" s="4"/>
      <c r="L45" s="4"/>
      <c r="M45" s="4"/>
    </row>
    <row r="46" spans="1:60" x14ac:dyDescent="0.25">
      <c r="A46" s="21"/>
      <c r="B46" s="21"/>
      <c r="C46" s="22"/>
      <c r="D46" s="22"/>
      <c r="E46" s="22"/>
      <c r="F46" s="22"/>
      <c r="G46" s="22"/>
      <c r="H46" s="22"/>
      <c r="I46" s="22"/>
      <c r="J46" s="23"/>
      <c r="K46" s="24"/>
      <c r="L46" s="23"/>
      <c r="M46" s="24"/>
    </row>
    <row r="47" spans="1:60" ht="15.95" customHeight="1" x14ac:dyDescent="0.25">
      <c r="A47" s="66" t="s">
        <v>80</v>
      </c>
      <c r="B47" s="66"/>
      <c r="C47" s="66"/>
      <c r="D47" s="66"/>
      <c r="E47" s="66"/>
      <c r="F47" s="66"/>
      <c r="G47" s="66"/>
      <c r="H47" s="66"/>
      <c r="I47" s="66"/>
      <c r="J47" s="66"/>
      <c r="K47" s="66"/>
      <c r="L47" s="66"/>
      <c r="M47" s="66"/>
    </row>
    <row r="48" spans="1:60" ht="15.95" customHeight="1" x14ac:dyDescent="0.25">
      <c r="A48" s="66"/>
      <c r="B48" s="66"/>
      <c r="C48" s="66"/>
      <c r="D48" s="66"/>
      <c r="E48" s="66"/>
      <c r="F48" s="66"/>
      <c r="G48" s="66"/>
      <c r="H48" s="66"/>
      <c r="I48" s="66"/>
      <c r="J48" s="66"/>
      <c r="K48" s="66"/>
      <c r="L48" s="66"/>
      <c r="M48" s="66"/>
    </row>
    <row r="49" spans="1:19" ht="15.95" customHeight="1" x14ac:dyDescent="0.25">
      <c r="A49" s="66"/>
      <c r="B49" s="66"/>
      <c r="C49" s="66"/>
      <c r="D49" s="66"/>
      <c r="E49" s="66"/>
      <c r="F49" s="66"/>
      <c r="G49" s="66"/>
      <c r="H49" s="66"/>
      <c r="I49" s="66"/>
      <c r="J49" s="66"/>
      <c r="K49" s="66"/>
      <c r="L49" s="66"/>
      <c r="M49" s="66"/>
    </row>
    <row r="50" spans="1:19" s="25" customFormat="1" ht="15.95" customHeight="1" x14ac:dyDescent="0.25">
      <c r="A50" s="66"/>
      <c r="B50" s="66"/>
      <c r="C50" s="66"/>
      <c r="D50" s="66"/>
      <c r="E50" s="66"/>
      <c r="F50" s="66"/>
      <c r="G50" s="66"/>
      <c r="H50" s="66"/>
      <c r="I50" s="66"/>
      <c r="J50" s="66"/>
      <c r="K50" s="66"/>
      <c r="L50" s="66"/>
      <c r="M50" s="66"/>
    </row>
    <row r="51" spans="1:19" ht="15.95" customHeight="1" x14ac:dyDescent="0.25">
      <c r="A51" s="66"/>
      <c r="B51" s="66"/>
      <c r="C51" s="66"/>
      <c r="D51" s="66"/>
      <c r="E51" s="66"/>
      <c r="F51" s="66"/>
      <c r="G51" s="66"/>
      <c r="H51" s="66"/>
      <c r="I51" s="66"/>
      <c r="J51" s="66"/>
      <c r="K51" s="66"/>
      <c r="L51" s="66"/>
      <c r="M51" s="66"/>
      <c r="S51" s="7"/>
    </row>
    <row r="52" spans="1:19" ht="15.95" customHeight="1" x14ac:dyDescent="0.25">
      <c r="A52" s="66"/>
      <c r="B52" s="66"/>
      <c r="C52" s="66"/>
      <c r="D52" s="66"/>
      <c r="E52" s="66"/>
      <c r="F52" s="66"/>
      <c r="G52" s="66"/>
      <c r="H52" s="66"/>
      <c r="I52" s="66"/>
      <c r="J52" s="66"/>
      <c r="K52" s="66"/>
      <c r="L52" s="66"/>
      <c r="M52" s="66"/>
    </row>
    <row r="53" spans="1:19" ht="15.95" customHeight="1" x14ac:dyDescent="0.25">
      <c r="A53" s="66"/>
      <c r="B53" s="66"/>
      <c r="C53" s="66"/>
      <c r="D53" s="66"/>
      <c r="E53" s="66"/>
      <c r="F53" s="66"/>
      <c r="G53" s="66"/>
      <c r="H53" s="66"/>
      <c r="I53" s="66"/>
      <c r="J53" s="66"/>
      <c r="K53" s="66"/>
      <c r="L53" s="66"/>
      <c r="M53" s="66"/>
    </row>
    <row r="54" spans="1:19" x14ac:dyDescent="0.25">
      <c r="A54" s="21"/>
      <c r="B54" s="21"/>
      <c r="C54" s="22"/>
      <c r="D54" s="22"/>
      <c r="E54" s="22"/>
      <c r="F54" s="22"/>
      <c r="G54" s="22"/>
      <c r="H54" s="22"/>
      <c r="I54" s="22"/>
      <c r="J54" s="23"/>
      <c r="K54" s="24"/>
      <c r="L54" s="23"/>
      <c r="M54" s="24"/>
    </row>
    <row r="55" spans="1:19" x14ac:dyDescent="0.25">
      <c r="A55" s="57" t="s">
        <v>40</v>
      </c>
      <c r="B55" s="57"/>
      <c r="C55" s="57"/>
      <c r="D55" s="57"/>
      <c r="E55" s="57"/>
      <c r="F55" s="57"/>
      <c r="G55" s="57"/>
      <c r="H55" s="57"/>
      <c r="I55" s="57"/>
      <c r="J55" s="57"/>
      <c r="K55" s="57"/>
      <c r="L55" s="57"/>
      <c r="M55" s="57"/>
    </row>
    <row r="56" spans="1:19" x14ac:dyDescent="0.25">
      <c r="A56" s="57"/>
      <c r="B56" s="57"/>
      <c r="C56" s="57"/>
      <c r="D56" s="57"/>
      <c r="E56" s="57"/>
      <c r="F56" s="57"/>
      <c r="G56" s="57"/>
      <c r="H56" s="57"/>
      <c r="I56" s="57"/>
      <c r="J56" s="57"/>
      <c r="K56" s="57"/>
      <c r="L56" s="57"/>
      <c r="M56" s="57"/>
    </row>
    <row r="57" spans="1:19" x14ac:dyDescent="0.25">
      <c r="A57" s="57"/>
      <c r="B57" s="57"/>
      <c r="C57" s="57"/>
      <c r="D57" s="57"/>
      <c r="E57" s="57"/>
      <c r="F57" s="57"/>
      <c r="G57" s="57"/>
      <c r="H57" s="57"/>
      <c r="I57" s="57"/>
      <c r="J57" s="57"/>
      <c r="K57" s="57"/>
      <c r="L57" s="57"/>
      <c r="M57" s="57"/>
    </row>
    <row r="58" spans="1:19" s="25" customFormat="1" ht="3.75" customHeight="1" x14ac:dyDescent="0.25">
      <c r="A58" s="57"/>
      <c r="B58" s="57"/>
      <c r="C58" s="57"/>
      <c r="D58" s="57"/>
      <c r="E58" s="57"/>
      <c r="F58" s="57"/>
      <c r="G58" s="57"/>
      <c r="H58" s="57"/>
      <c r="I58" s="57"/>
      <c r="J58" s="57"/>
      <c r="K58" s="57"/>
      <c r="L58" s="57"/>
      <c r="M58" s="57"/>
    </row>
    <row r="59" spans="1:19" ht="15" customHeight="1" x14ac:dyDescent="0.25">
      <c r="A59" s="57"/>
      <c r="B59" s="57"/>
      <c r="C59" s="57"/>
      <c r="D59" s="57"/>
      <c r="E59" s="57"/>
      <c r="F59" s="57"/>
      <c r="G59" s="57"/>
      <c r="H59" s="57"/>
      <c r="I59" s="57"/>
      <c r="J59" s="57"/>
      <c r="K59" s="57"/>
      <c r="L59" s="57"/>
      <c r="M59" s="57"/>
    </row>
    <row r="60" spans="1:19" x14ac:dyDescent="0.25">
      <c r="A60" s="21"/>
      <c r="B60" s="21"/>
      <c r="C60" s="22"/>
      <c r="D60" s="22"/>
      <c r="E60" s="22"/>
      <c r="F60" s="22"/>
      <c r="G60" s="22"/>
      <c r="H60" s="22"/>
      <c r="I60" s="22"/>
      <c r="J60" s="23"/>
      <c r="K60" s="24"/>
      <c r="L60" s="23"/>
      <c r="M60" s="24"/>
    </row>
    <row r="61" spans="1:19" x14ac:dyDescent="0.25">
      <c r="A61" s="42"/>
      <c r="B61" s="34"/>
      <c r="C61" s="34"/>
      <c r="D61" s="34"/>
      <c r="E61" s="34"/>
      <c r="F61" s="34"/>
      <c r="G61" s="34"/>
      <c r="H61" s="34"/>
      <c r="I61" s="34"/>
      <c r="J61" s="34"/>
      <c r="K61" s="34"/>
      <c r="L61" s="34"/>
      <c r="M61" s="34"/>
    </row>
    <row r="62" spans="1:19" x14ac:dyDescent="0.25">
      <c r="A62" s="33" t="s">
        <v>26</v>
      </c>
      <c r="B62" s="34"/>
      <c r="C62" s="34"/>
      <c r="D62" s="34"/>
      <c r="E62" s="34"/>
      <c r="F62" s="34"/>
      <c r="G62" s="34"/>
      <c r="H62" s="34"/>
      <c r="I62" s="34"/>
      <c r="J62" s="34"/>
      <c r="K62" s="34"/>
      <c r="L62" s="34"/>
      <c r="M62" s="34"/>
    </row>
    <row r="63" spans="1:19" x14ac:dyDescent="0.25">
      <c r="A63" s="33" t="s">
        <v>32</v>
      </c>
      <c r="B63" s="34"/>
      <c r="C63" s="34"/>
      <c r="D63" s="34"/>
      <c r="E63" s="34"/>
      <c r="F63" s="34"/>
      <c r="G63" s="34"/>
      <c r="H63" s="34"/>
      <c r="I63" s="34"/>
      <c r="J63" s="34"/>
      <c r="K63" s="34"/>
      <c r="L63" s="34"/>
      <c r="M63" s="34"/>
    </row>
    <row r="64" spans="1:19" s="25" customFormat="1" ht="3.75" customHeight="1" x14ac:dyDescent="0.25">
      <c r="A64" s="33"/>
      <c r="B64" s="34"/>
      <c r="C64" s="34"/>
      <c r="D64" s="34"/>
      <c r="E64" s="34"/>
      <c r="F64" s="34"/>
      <c r="G64" s="34"/>
      <c r="H64" s="34"/>
      <c r="I64" s="34"/>
      <c r="J64" s="34"/>
      <c r="K64" s="34"/>
      <c r="L64" s="34"/>
      <c r="M64" s="34"/>
    </row>
    <row r="65" spans="1:13" x14ac:dyDescent="0.25">
      <c r="A65" s="21"/>
      <c r="B65" s="21"/>
      <c r="C65" s="22"/>
      <c r="D65" s="22"/>
      <c r="E65" s="22"/>
      <c r="F65" s="22"/>
      <c r="G65" s="22"/>
      <c r="H65" s="22"/>
      <c r="I65" s="22"/>
      <c r="J65" s="23"/>
      <c r="K65" s="24"/>
      <c r="L65" s="23"/>
      <c r="M65" s="24"/>
    </row>
    <row r="66" spans="1:13" x14ac:dyDescent="0.25">
      <c r="A66" s="3"/>
      <c r="B66" s="3"/>
      <c r="C66" s="3"/>
      <c r="D66" s="3"/>
      <c r="E66" s="3"/>
      <c r="F66" s="3"/>
      <c r="G66" s="3"/>
      <c r="H66" s="3"/>
      <c r="I66" s="3"/>
      <c r="J66" s="3"/>
      <c r="K66" s="3"/>
      <c r="L66" s="3"/>
      <c r="M66" s="3"/>
    </row>
    <row r="67" spans="1:13" x14ac:dyDescent="0.25">
      <c r="A67" s="56" t="s">
        <v>27</v>
      </c>
      <c r="B67" s="56"/>
      <c r="C67" s="56"/>
      <c r="D67" s="56"/>
      <c r="E67" s="56"/>
      <c r="F67" s="56"/>
      <c r="G67" s="56"/>
      <c r="H67" s="56"/>
      <c r="I67" s="56"/>
      <c r="J67" s="56"/>
      <c r="K67" s="56"/>
      <c r="L67" s="56"/>
      <c r="M67" s="56"/>
    </row>
    <row r="69" spans="1:13" s="25" customFormat="1" ht="3.75" customHeight="1" x14ac:dyDescent="0.25">
      <c r="A69" s="4"/>
      <c r="B69"/>
      <c r="C69"/>
      <c r="D69"/>
      <c r="E69"/>
      <c r="F69"/>
      <c r="G69"/>
      <c r="H69"/>
      <c r="I69"/>
      <c r="J69"/>
      <c r="K69"/>
      <c r="L69"/>
      <c r="M69"/>
    </row>
  </sheetData>
  <mergeCells count="26">
    <mergeCell ref="A67:M67"/>
    <mergeCell ref="A55:M59"/>
    <mergeCell ref="A2:M2"/>
    <mergeCell ref="A3:M3"/>
    <mergeCell ref="A4:M4"/>
    <mergeCell ref="A7:M7"/>
    <mergeCell ref="D10:H10"/>
    <mergeCell ref="L14:M14"/>
    <mergeCell ref="L15:M15"/>
    <mergeCell ref="B13:F13"/>
    <mergeCell ref="A26:M26"/>
    <mergeCell ref="A47:M53"/>
    <mergeCell ref="A28:B28"/>
    <mergeCell ref="A33:B33"/>
    <mergeCell ref="A38:B38"/>
    <mergeCell ref="A41:B41"/>
    <mergeCell ref="AL26:AM26"/>
    <mergeCell ref="AO26:AP26"/>
    <mergeCell ref="AR26:AS26"/>
    <mergeCell ref="AU26:AV26"/>
    <mergeCell ref="AL31:AM31"/>
    <mergeCell ref="AX26:AY26"/>
    <mergeCell ref="AX31:AY31"/>
    <mergeCell ref="AU31:AV31"/>
    <mergeCell ref="AR31:AS31"/>
    <mergeCell ref="AO31:AP31"/>
  </mergeCells>
  <pageMargins left="0.13" right="0.13" top="0.2" bottom="0.13" header="0.28999999999999998" footer="0.13"/>
  <pageSetup scale="72" orientation="portrait" r:id="rId1"/>
  <colBreaks count="1" manualBreakCount="1">
    <brk id="13" max="1048575" man="1"/>
  </colBreaks>
  <customProperties>
    <customPr name="%locator_row%" r:id="rId2"/>
    <customPr name="%startcell%" r:id="rId3"/>
  </customProperties>
  <drawing r:id="rId4"/>
  <legacy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Report</vt:lpstr>
      <vt:lpstr>Locator</vt:lpstr>
      <vt:lpstr>Report!Print_Area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c:creator>
  <cp:lastModifiedBy>Jeff Hall</cp:lastModifiedBy>
  <cp:lastPrinted>2022-12-05T19:41:02Z</cp:lastPrinted>
  <dcterms:created xsi:type="dcterms:W3CDTF">2013-02-27T17:49:10Z</dcterms:created>
  <dcterms:modified xsi:type="dcterms:W3CDTF">2025-02-10T06:32:09Z</dcterms:modified>
</cp:coreProperties>
</file>